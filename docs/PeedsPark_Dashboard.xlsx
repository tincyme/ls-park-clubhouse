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ookings" sheetId="2" state="visible" r:id="rId4"/>
    <sheet name="Booking Requests" sheetId="3" state="visible" r:id="rId5"/>
    <sheet name="Enquiri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<sst xmlns="http://schemas.openxmlformats.org/spreadsheetml/2006/main" count="196" uniqueCount="129">
  <si>
    <t xml:space="preserve">PeedsPark — Usage &amp; Occupancy Dashboard</t>
  </si>
  <si>
    <t xml:space="preserve">All figures below are formulas that read Bookings / Booking Requests / Enquiries directly — they recalculate automatically as those sheets change. Revenue is a placeholder until an Amount Charged column exists (see the note at the bottom, and the Operations Guide).</t>
  </si>
  <si>
    <t xml:space="preserve">Facility Occupancy — This Month</t>
  </si>
  <si>
    <t xml:space="preserve">Facility</t>
  </si>
  <si>
    <t xml:space="preserve">Facility ID</t>
  </si>
  <si>
    <t xml:space="preserve">Confirmed Bookings (this month)</t>
  </si>
  <si>
    <t xml:space="preserve">Slot Occupancy % (Hall/Lawn only)</t>
  </si>
  <si>
    <t xml:space="preserve">AC Hall</t>
  </si>
  <si>
    <t xml:space="preserve">F002</t>
  </si>
  <si>
    <t xml:space="preserve">Non-AC Hall</t>
  </si>
  <si>
    <t xml:space="preserve">F003</t>
  </si>
  <si>
    <t xml:space="preserve">Lawn</t>
  </si>
  <si>
    <t xml:space="preserve">F004</t>
  </si>
  <si>
    <t xml:space="preserve">Swimming Pool</t>
  </si>
  <si>
    <t xml:space="preserve">F001</t>
  </si>
  <si>
    <t xml:space="preserve">n/a — hourly capacity model, not slot-based</t>
  </si>
  <si>
    <t xml:space="preserve">Badminton</t>
  </si>
  <si>
    <t xml:space="preserve">F005</t>
  </si>
  <si>
    <t xml:space="preserve">Occupancy % = confirmed bookings this month ÷ (2 slots/day × days in month). Pool and Badminton are hourly/capacity-based, not slot-based, so this % doesn't apply to them — use the booking counts on the left to compare their usage instead.</t>
  </si>
  <si>
    <t xml:space="preserve">Enquiry Funnel — Last 30 Days</t>
  </si>
  <si>
    <t xml:space="preserve">Metric</t>
  </si>
  <si>
    <t xml:space="preserve">Value</t>
  </si>
  <si>
    <t xml:space="preserve">Total enquiries</t>
  </si>
  <si>
    <t xml:space="preserve">Converted</t>
  </si>
  <si>
    <t xml:space="preserve">Conversion rate</t>
  </si>
  <si>
    <t xml:space="preserve">Booking requests (30 days)</t>
  </si>
  <si>
    <t xml:space="preserve">Confirmed bookings (created, 30 days)</t>
  </si>
  <si>
    <t xml:space="preserve">Requests → Confirmed rate (approx.)</t>
  </si>
  <si>
    <t xml:space="preserve">"Approx." because it compares two 30-day windows independently, not the same requests followed through to confirmation — a request from late in the window may confirm just after it. Good for a trend, not a precise rate.</t>
  </si>
  <si>
    <t xml:space="preserve">Status Snapshot — Right Now</t>
  </si>
  <si>
    <t xml:space="preserve">Pending requests (New + Under Review)</t>
  </si>
  <si>
    <t xml:space="preserve">Confirmed &amp; not fully paid (Partial/Unpaid)</t>
  </si>
  <si>
    <t xml:space="preserve">Revenue — This Month</t>
  </si>
  <si>
    <t xml:space="preserve">Revenue this month</t>
  </si>
  <si>
    <t xml:space="preserve">To turn this on: add a column O header "Amount Charged" to Bookings, and fill it in per booking when payment is marked (a typed number, not a formula off a price list — real prices get negotiated and discounted). The formula above starts working the moment cell O1 has that header. See the Operations Guide, section 9, for the full reasoning.</t>
  </si>
  <si>
    <t xml:space="preserve">Booking ID</t>
  </si>
  <si>
    <t xml:space="preserve">Request ID</t>
  </si>
  <si>
    <t xml:space="preserve">Customer ID</t>
  </si>
  <si>
    <t xml:space="preserve">Resource ID</t>
  </si>
  <si>
    <t xml:space="preserve">Booking Date</t>
  </si>
  <si>
    <t xml:space="preserve">Start Time</t>
  </si>
  <si>
    <t xml:space="preserve">End Time</t>
  </si>
  <si>
    <t xml:space="preserve">Booking Mode</t>
  </si>
  <si>
    <t xml:space="preserve">Guests</t>
  </si>
  <si>
    <t xml:space="preserve">Status</t>
  </si>
  <si>
    <t xml:space="preserve">Payment Status</t>
  </si>
  <si>
    <t xml:space="preserve">Created Date</t>
  </si>
  <si>
    <t xml:space="preserve">Notes</t>
  </si>
  <si>
    <t xml:space="preserve">B-SAMPLE-001</t>
  </si>
  <si>
    <t xml:space="preserve">REQ-SAMPLE-001</t>
  </si>
  <si>
    <t xml:space="preserve">C-SAMPLE-001</t>
  </si>
  <si>
    <t xml:space="preserve">2026-08-05</t>
  </si>
  <si>
    <t xml:space="preserve">08:00</t>
  </si>
  <si>
    <t xml:space="preserve">14:00</t>
  </si>
  <si>
    <t xml:space="preserve">Standard</t>
  </si>
  <si>
    <t xml:space="preserve">Confirmed</t>
  </si>
  <si>
    <t xml:space="preserve">Paid</t>
  </si>
  <si>
    <t xml:space="preserve">B-SAMPLE-002</t>
  </si>
  <si>
    <t xml:space="preserve">REQ-SAMPLE-002</t>
  </si>
  <si>
    <t xml:space="preserve">C-SAMPLE-002</t>
  </si>
  <si>
    <t xml:space="preserve">2026-08-20</t>
  </si>
  <si>
    <t xml:space="preserve">16:00</t>
  </si>
  <si>
    <t xml:space="preserve">22:00</t>
  </si>
  <si>
    <t xml:space="preserve">Partial</t>
  </si>
  <si>
    <t xml:space="preserve">B-SAMPLE-003</t>
  </si>
  <si>
    <t xml:space="preserve">REQ-SAMPLE-003</t>
  </si>
  <si>
    <t xml:space="preserve">C-SAMPLE-003</t>
  </si>
  <si>
    <t xml:space="preserve">B-SAMPLE-004</t>
  </si>
  <si>
    <t xml:space="preserve">REQ-SAMPLE-004</t>
  </si>
  <si>
    <t xml:space="preserve">C-SAMPLE-004</t>
  </si>
  <si>
    <t xml:space="preserve">06:00</t>
  </si>
  <si>
    <t xml:space="preserve">07:00</t>
  </si>
  <si>
    <t xml:space="preserve">Shared</t>
  </si>
  <si>
    <t xml:space="preserve">B-SAMPLE-005</t>
  </si>
  <si>
    <t xml:space="preserve">REQ-SAMPLE-005</t>
  </si>
  <si>
    <t xml:space="preserve">C-SAMPLE-005</t>
  </si>
  <si>
    <t xml:space="preserve">R001</t>
  </si>
  <si>
    <t xml:space="preserve">17:00</t>
  </si>
  <si>
    <t xml:space="preserve">18:00</t>
  </si>
  <si>
    <t xml:space="preserve">Unpaid</t>
  </si>
  <si>
    <t xml:space="preserve">B-SAMPLE-006</t>
  </si>
  <si>
    <t xml:space="preserve">REQ-SAMPLE-006</t>
  </si>
  <si>
    <t xml:space="preserve">C-SAMPLE-006</t>
  </si>
  <si>
    <t xml:space="preserve">2026-07-10</t>
  </si>
  <si>
    <t xml:space="preserve">outside this month</t>
  </si>
  <si>
    <t xml:space="preserve">B-SAMPLE-007</t>
  </si>
  <si>
    <t xml:space="preserve">REQ-SAMPLE-007</t>
  </si>
  <si>
    <t xml:space="preserve">C-SAMPLE-007</t>
  </si>
  <si>
    <t xml:space="preserve">Cancelled</t>
  </si>
  <si>
    <t xml:space="preserve">cancelled, should not count</t>
  </si>
  <si>
    <t xml:space="preserve">Request Date</t>
  </si>
  <si>
    <t xml:space="preserve">Slot/Requested Time</t>
  </si>
  <si>
    <t xml:space="preserve">Event Type</t>
  </si>
  <si>
    <t xml:space="preserve">Special Request</t>
  </si>
  <si>
    <t xml:space="preserve">Owner Notes</t>
  </si>
  <si>
    <t xml:space="preserve">Morning</t>
  </si>
  <si>
    <t xml:space="preserve">Birthday</t>
  </si>
  <si>
    <t xml:space="preserve">Approved</t>
  </si>
  <si>
    <t xml:space="preserve">Evening</t>
  </si>
  <si>
    <t xml:space="preserve">Wedding</t>
  </si>
  <si>
    <t xml:space="preserve">REQ-SAMPLE-008</t>
  </si>
  <si>
    <t xml:space="preserve">C-SAMPLE-008</t>
  </si>
  <si>
    <t xml:space="preserve">Reunion</t>
  </si>
  <si>
    <t xml:space="preserve">New</t>
  </si>
  <si>
    <t xml:space="preserve">REQ-SAMPLE-009</t>
  </si>
  <si>
    <t xml:space="preserve">C-SAMPLE-009</t>
  </si>
  <si>
    <t xml:space="preserve">10:00-11:00</t>
  </si>
  <si>
    <t xml:space="preserve">Under Review</t>
  </si>
  <si>
    <t xml:space="preserve">Timestamp</t>
  </si>
  <si>
    <t xml:space="preserve">Enquiry ID</t>
  </si>
  <si>
    <t xml:space="preserve">Customer Name</t>
  </si>
  <si>
    <t xml:space="preserve">Mobile</t>
  </si>
  <si>
    <t xml:space="preserve">Email</t>
  </si>
  <si>
    <t xml:space="preserve">Preferred Date</t>
  </si>
  <si>
    <t xml:space="preserve">Message</t>
  </si>
  <si>
    <t xml:space="preserve">Source</t>
  </si>
  <si>
    <t xml:space="preserve">ENQ-SAMPLE-001</t>
  </si>
  <si>
    <t xml:space="preserve">Sample Customer 1</t>
  </si>
  <si>
    <t xml:space="preserve">9000000001</t>
  </si>
  <si>
    <t xml:space="preserve">Direct/Website</t>
  </si>
  <si>
    <t xml:space="preserve">ENQ-SAMPLE-002</t>
  </si>
  <si>
    <t xml:space="preserve">Sample Customer 2</t>
  </si>
  <si>
    <t xml:space="preserve">9000000002</t>
  </si>
  <si>
    <t xml:space="preserve">Party Lawn</t>
  </si>
  <si>
    <t xml:space="preserve">ENQ-SAMPLE-003</t>
  </si>
  <si>
    <t xml:space="preserve">Sample Customer 3</t>
  </si>
  <si>
    <t xml:space="preserve">9000000003</t>
  </si>
  <si>
    <t xml:space="preserve">Badminton Court</t>
  </si>
  <si>
    <t xml:space="preserve">Lost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</si>
</sst>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%"/>
    <numFmt numFmtId="167" formatCode="@"/>
    <numFmt numFmtId="168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2"/>
      <color rgb="FF315F88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11"/>
      <color rgb="FF16232C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15F88"/>
        <bgColor rgb="FF5B6B76"/>
      </patternFill>
    </fill>
    <fill>
      <patternFill patternType="solid">
        <fgColor rgb="FFE7F0F8"/>
        <bgColor rgb="FFD9E1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F0F8"/>
      <rgbColor rgb="FF660066"/>
      <rgbColor rgb="FFFF8080"/>
      <rgbColor rgb="FF0066CC"/>
      <rgbColor rgb="FFD9E1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993366"/>
      <rgbColor rgb="FF315F88"/>
      <rgbColor rgb="FF1623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34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39.7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5" t="s">
        <v>8</v>
      </c>
      <c r="C6" s="6" t="n">
        <f aca="true">SUMPRODUCT((Bookings!$D$2:$D$5000="F002")*(Bookings!$K$2:$K$5000="Confirmed")*(IFERROR(DATEVALUE(Bookings!$F$2:$F$5000),0)&gt;=EOMONTH(TODAY(),-1)+1)*(IFERROR(DATEVALUE(Bookings!$F$2:$F$5000),0)&lt;=EOMONTH(TODAY(),0)))</f>
        <v>1</v>
      </c>
      <c r="D6" s="7" t="n">
        <f aca="true">C6/(2*DAY(EOMONTH(TODAY(),0)))</f>
        <v>0.0161290322580645</v>
      </c>
    </row>
    <row r="7" customFormat="false" ht="15" hidden="false" customHeight="false" outlineLevel="0" collapsed="false">
      <c r="A7" s="5" t="s">
        <v>9</v>
      </c>
      <c r="B7" s="5" t="s">
        <v>10</v>
      </c>
      <c r="C7" s="6" t="n">
        <f aca="true">SUMPRODUCT((Bookings!$D$2:$D$5000="F003")*(Bookings!$K$2:$K$5000="Confirmed")*(IFERROR(DATEVALUE(Bookings!$F$2:$F$5000),0)&gt;=EOMONTH(TODAY(),-1)+1)*(IFERROR(DATEVALUE(Bookings!$F$2:$F$5000),0)&lt;=EOMONTH(TODAY(),0)))</f>
        <v>1</v>
      </c>
      <c r="D7" s="7" t="n">
        <f aca="true">C7/(2*DAY(EOMONTH(TODAY(),0)))</f>
        <v>0.0161290322580645</v>
      </c>
    </row>
    <row r="8" customFormat="false" ht="15" hidden="false" customHeight="false" outlineLevel="0" collapsed="false">
      <c r="A8" s="5" t="s">
        <v>11</v>
      </c>
      <c r="B8" s="5" t="s">
        <v>12</v>
      </c>
      <c r="C8" s="6" t="n">
        <f aca="true">SUMPRODUCT((Bookings!$D$2:$D$5000="F004")*(Bookings!$K$2:$K$5000="Confirmed")*(IFERROR(DATEVALUE(Bookings!$F$2:$F$5000),0)&gt;=EOMONTH(TODAY(),-1)+1)*(IFERROR(DATEVALUE(Bookings!$F$2:$F$5000),0)&lt;=EOMONTH(TODAY(),0)))</f>
        <v>1</v>
      </c>
      <c r="D8" s="7" t="n">
        <f aca="true">C8/(2*DAY(EOMONTH(TODAY(),0)))</f>
        <v>0.0161290322580645</v>
      </c>
    </row>
    <row r="9" customFormat="false" ht="15" hidden="false" customHeight="false" outlineLevel="0" collapsed="false">
      <c r="A9" s="5" t="s">
        <v>13</v>
      </c>
      <c r="B9" s="5" t="s">
        <v>14</v>
      </c>
      <c r="C9" s="6" t="n">
        <f aca="true">SUMPRODUCT((Bookings!$D$2:$D$5000="F001")*(Bookings!$K$2:$K$5000="Confirmed")*(IFERROR(DATEVALUE(Bookings!$F$2:$F$5000),0)&gt;=EOMONTH(TODAY(),-1)+1)*(IFERROR(DATEVALUE(Bookings!$F$2:$F$5000),0)&lt;=EOMONTH(TODAY(),0)))</f>
        <v>1</v>
      </c>
      <c r="D9" s="5" t="s">
        <v>15</v>
      </c>
    </row>
    <row r="10" customFormat="false" ht="15" hidden="false" customHeight="false" outlineLevel="0" collapsed="false">
      <c r="A10" s="5" t="s">
        <v>16</v>
      </c>
      <c r="B10" s="5" t="s">
        <v>17</v>
      </c>
      <c r="C10" s="6" t="n">
        <f aca="true">SUMPRODUCT((Bookings!$D$2:$D$5000="F005")*(Bookings!$K$2:$K$5000="Confirmed")*(IFERROR(DATEVALUE(Bookings!$F$2:$F$5000),0)&gt;=EOMONTH(TODAY(),-1)+1)*(IFERROR(DATEVALUE(Bookings!$F$2:$F$5000),0)&lt;=EOMONTH(TODAY(),0)))</f>
        <v>1</v>
      </c>
      <c r="D10" s="5" t="s">
        <v>15</v>
      </c>
    </row>
    <row r="12" customFormat="false" ht="27.75" hidden="false" customHeight="true" outlineLevel="0" collapsed="false">
      <c r="A12" s="8" t="s">
        <v>18</v>
      </c>
      <c r="B12" s="8"/>
      <c r="C12" s="8"/>
      <c r="D12" s="8"/>
    </row>
    <row r="14" customFormat="false" ht="15" hidden="false" customHeight="false" outlineLevel="0" collapsed="false">
      <c r="A14" s="3" t="s">
        <v>19</v>
      </c>
      <c r="B14" s="3"/>
      <c r="C14" s="3"/>
      <c r="D14" s="3"/>
    </row>
    <row r="15" customFormat="false" ht="15" hidden="false" customHeight="false" outlineLevel="0" collapsed="false">
      <c r="A15" s="4" t="s">
        <v>20</v>
      </c>
      <c r="B15" s="4" t="s">
        <v>21</v>
      </c>
      <c r="C15" s="4"/>
      <c r="D15" s="4"/>
    </row>
    <row r="16" customFormat="false" ht="15" hidden="false" customHeight="false" outlineLevel="0" collapsed="false">
      <c r="A16" s="5" t="s">
        <v>22</v>
      </c>
      <c r="B16" s="6" t="n">
        <f aca="true">COUNTIFS(Enquiries!A:A,"&gt;="&amp;TODAY()-30)</f>
        <v>3</v>
      </c>
    </row>
    <row r="17" customFormat="false" ht="15" hidden="false" customHeight="false" outlineLevel="0" collapsed="false">
      <c r="A17" s="5" t="s">
        <v>23</v>
      </c>
      <c r="B17" s="6" t="n">
        <f aca="true">COUNTIFS(Enquiries!A:A,"&gt;="&amp;TODAY()-30,Enquiries!J:J,"Converted")</f>
        <v>1</v>
      </c>
    </row>
    <row r="18" customFormat="false" ht="15" hidden="false" customHeight="false" outlineLevel="0" collapsed="false">
      <c r="A18" s="5" t="s">
        <v>24</v>
      </c>
      <c r="B18" s="7" t="n">
        <f aca="false">IFERROR(B17/B16,"—")</f>
        <v>0.333333333333333</v>
      </c>
    </row>
    <row r="19" customFormat="false" ht="15" hidden="false" customHeight="false" outlineLevel="0" collapsed="false">
      <c r="A19" s="5" t="s">
        <v>25</v>
      </c>
      <c r="B19" s="6" t="n">
        <f aca="true">COUNTIFS('Booking Requests'!L:L,"&gt;="&amp;TODAY()-30)</f>
        <v>4</v>
      </c>
    </row>
    <row r="20" customFormat="false" ht="15" hidden="false" customHeight="false" outlineLevel="0" collapsed="false">
      <c r="A20" s="5" t="s">
        <v>26</v>
      </c>
      <c r="B20" s="6" t="n">
        <f aca="true">COUNTIFS(Bookings!M:M,"&gt;="&amp;TODAY()-30,Bookings!K:K,"Confirmed")</f>
        <v>5</v>
      </c>
    </row>
    <row r="21" customFormat="false" ht="15" hidden="false" customHeight="false" outlineLevel="0" collapsed="false">
      <c r="A21" s="5" t="s">
        <v>27</v>
      </c>
      <c r="B21" s="7" t="n">
        <f aca="false">IFERROR(B20/B19,"—")</f>
        <v>1.25</v>
      </c>
    </row>
    <row r="22" customFormat="false" ht="27.75" hidden="false" customHeight="true" outlineLevel="0" collapsed="false">
      <c r="A22" s="8" t="s">
        <v>28</v>
      </c>
      <c r="B22" s="8"/>
      <c r="C22" s="8"/>
      <c r="D22" s="8"/>
    </row>
    <row r="24" customFormat="false" ht="15" hidden="false" customHeight="false" outlineLevel="0" collapsed="false">
      <c r="A24" s="3" t="s">
        <v>29</v>
      </c>
      <c r="B24" s="3"/>
      <c r="C24" s="3"/>
      <c r="D24" s="3"/>
    </row>
    <row r="25" customFormat="false" ht="15" hidden="false" customHeight="false" outlineLevel="0" collapsed="false">
      <c r="A25" s="4" t="s">
        <v>20</v>
      </c>
      <c r="B25" s="4" t="s">
        <v>21</v>
      </c>
      <c r="C25" s="4"/>
      <c r="D25" s="4"/>
    </row>
    <row r="26" customFormat="false" ht="15" hidden="false" customHeight="false" outlineLevel="0" collapsed="false">
      <c r="A26" s="5" t="s">
        <v>30</v>
      </c>
      <c r="B26" s="6" t="n">
        <f aca="false">COUNTIF('Booking Requests'!K:K,"New")+COUNTIF('Booking Requests'!K:K,"Under Review")</f>
        <v>2</v>
      </c>
    </row>
    <row r="27" customFormat="false" ht="15" hidden="false" customHeight="false" outlineLevel="0" collapsed="false">
      <c r="A27" s="5" t="s">
        <v>31</v>
      </c>
      <c r="B27" s="6" t="n">
        <f aca="false">COUNTIFS(Bookings!K:K,"Confirmed",Bookings!L:L,"&lt;&gt;Paid")</f>
        <v>2</v>
      </c>
    </row>
    <row r="29" customFormat="false" ht="15" hidden="false" customHeight="false" outlineLevel="0" collapsed="false">
      <c r="A29" s="3" t="s">
        <v>32</v>
      </c>
      <c r="B29" s="3"/>
      <c r="C29" s="3"/>
      <c r="D29" s="3"/>
    </row>
    <row r="30" customFormat="false" ht="15" hidden="false" customHeight="false" outlineLevel="0" collapsed="false">
      <c r="A30" s="4" t="s">
        <v>20</v>
      </c>
      <c r="B30" s="4" t="s">
        <v>21</v>
      </c>
      <c r="C30" s="4"/>
      <c r="D30" s="4"/>
    </row>
    <row r="31" customFormat="false" ht="15" hidden="false" customHeight="false" outlineLevel="0" collapsed="false">
      <c r="A31" s="5" t="s">
        <v>33</v>
      </c>
      <c r="B31" s="5" t="str">
        <f aca="true">IF(Bookings!O1="","— add 'Amount Charged' as column O on Bookings first",SUMPRODUCT((Bookings!$K$2:$K$5000="Confirmed")*(IFERROR(DATEVALUE(Bookings!$F$2:$F$5000),0)&gt;=EOMONTH(TODAY(),-1)+1)*IFERROR(Bookings!$O$2:$O$5000,0)))</f>
        <v>— add 'Amount Charged' as column O on Bookings first</v>
      </c>
    </row>
    <row r="33" customFormat="false" ht="42" hidden="false" customHeight="true" outlineLevel="0" collapsed="false">
      <c r="A33" s="8" t="s">
        <v>34</v>
      </c>
      <c r="B33" s="8"/>
      <c r="C33" s="8"/>
      <c r="D33" s="8"/>
    </row>
  </sheetData>
  <mergeCells count="9">
    <mergeCell ref="A1:D1"/>
    <mergeCell ref="A2:D2"/>
    <mergeCell ref="A4:D4"/>
    <mergeCell ref="A12:D12"/>
    <mergeCell ref="A14:D14"/>
    <mergeCell ref="A22:D22"/>
    <mergeCell ref="A24:D24"/>
    <mergeCell ref="A29:D29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6"/>
  </cols>
  <sheetData>
    <row r="1" customFormat="false" ht="15" hidden="false" customHeight="false" outlineLevel="0" collapsed="false">
      <c r="A1" s="9" t="s">
        <v>35</v>
      </c>
      <c r="B1" s="9" t="s">
        <v>36</v>
      </c>
      <c r="C1" s="9" t="s">
        <v>37</v>
      </c>
      <c r="D1" s="9" t="s">
        <v>4</v>
      </c>
      <c r="E1" s="9" t="s">
        <v>38</v>
      </c>
      <c r="F1" s="9" t="s">
        <v>39</v>
      </c>
      <c r="G1" s="9" t="s">
        <v>40</v>
      </c>
      <c r="H1" s="9" t="s">
        <v>41</v>
      </c>
      <c r="I1" s="9" t="s">
        <v>42</v>
      </c>
      <c r="J1" s="9" t="s">
        <v>43</v>
      </c>
      <c r="K1" s="9" t="s">
        <v>44</v>
      </c>
      <c r="L1" s="9" t="s">
        <v>45</v>
      </c>
      <c r="M1" s="9" t="s">
        <v>46</v>
      </c>
      <c r="N1" s="9" t="s">
        <v>47</v>
      </c>
    </row>
    <row r="2" customFormat="false" ht="15" hidden="false" customHeight="false" outlineLevel="0" collapsed="false">
      <c r="A2" s="0" t="s">
        <v>48</v>
      </c>
      <c r="B2" s="0" t="s">
        <v>49</v>
      </c>
      <c r="C2" s="0" t="s">
        <v>50</v>
      </c>
      <c r="D2" s="0" t="s">
        <v>8</v>
      </c>
      <c r="F2" s="10" t="s">
        <v>51</v>
      </c>
      <c r="G2" s="11" t="s">
        <v>52</v>
      </c>
      <c r="H2" s="11" t="s">
        <v>53</v>
      </c>
      <c r="I2" s="11" t="s">
        <v>54</v>
      </c>
      <c r="J2" s="0" t="n">
        <v>80</v>
      </c>
      <c r="K2" s="11" t="s">
        <v>55</v>
      </c>
      <c r="L2" s="11" t="s">
        <v>56</v>
      </c>
      <c r="M2" s="12" t="n">
        <v>46239</v>
      </c>
    </row>
    <row r="3" customFormat="false" ht="15" hidden="false" customHeight="false" outlineLevel="0" collapsed="false">
      <c r="A3" s="0" t="s">
        <v>57</v>
      </c>
      <c r="B3" s="0" t="s">
        <v>58</v>
      </c>
      <c r="C3" s="0" t="s">
        <v>59</v>
      </c>
      <c r="D3" s="0" t="s">
        <v>10</v>
      </c>
      <c r="F3" s="10" t="s">
        <v>60</v>
      </c>
      <c r="G3" s="11" t="s">
        <v>61</v>
      </c>
      <c r="H3" s="11" t="s">
        <v>62</v>
      </c>
      <c r="I3" s="11" t="s">
        <v>54</v>
      </c>
      <c r="J3" s="0" t="n">
        <v>200</v>
      </c>
      <c r="K3" s="11" t="s">
        <v>55</v>
      </c>
      <c r="L3" s="11" t="s">
        <v>63</v>
      </c>
      <c r="M3" s="12" t="n">
        <v>46254</v>
      </c>
    </row>
    <row r="4" customFormat="false" ht="15" hidden="false" customHeight="false" outlineLevel="0" collapsed="false">
      <c r="A4" s="0" t="s">
        <v>64</v>
      </c>
      <c r="B4" s="0" t="s">
        <v>65</v>
      </c>
      <c r="C4" s="0" t="s">
        <v>66</v>
      </c>
      <c r="D4" s="0" t="s">
        <v>12</v>
      </c>
      <c r="F4" s="10" t="s">
        <v>51</v>
      </c>
      <c r="G4" s="11" t="s">
        <v>52</v>
      </c>
      <c r="H4" s="11" t="s">
        <v>53</v>
      </c>
      <c r="I4" s="11" t="s">
        <v>54</v>
      </c>
      <c r="J4" s="0" t="n">
        <v>60</v>
      </c>
      <c r="K4" s="11" t="s">
        <v>55</v>
      </c>
      <c r="L4" s="11" t="s">
        <v>56</v>
      </c>
      <c r="M4" s="12" t="n">
        <v>46239</v>
      </c>
    </row>
    <row r="5" customFormat="false" ht="15" hidden="false" customHeight="false" outlineLevel="0" collapsed="false">
      <c r="A5" s="0" t="s">
        <v>67</v>
      </c>
      <c r="B5" s="0" t="s">
        <v>68</v>
      </c>
      <c r="C5" s="0" t="s">
        <v>69</v>
      </c>
      <c r="D5" s="0" t="s">
        <v>14</v>
      </c>
      <c r="F5" s="10" t="s">
        <v>60</v>
      </c>
      <c r="G5" s="11" t="s">
        <v>70</v>
      </c>
      <c r="H5" s="11" t="s">
        <v>71</v>
      </c>
      <c r="I5" s="11" t="s">
        <v>72</v>
      </c>
      <c r="J5" s="0" t="n">
        <v>5</v>
      </c>
      <c r="K5" s="11" t="s">
        <v>55</v>
      </c>
      <c r="L5" s="11" t="s">
        <v>56</v>
      </c>
      <c r="M5" s="12" t="n">
        <v>46254</v>
      </c>
    </row>
    <row r="6" customFormat="false" ht="15" hidden="false" customHeight="false" outlineLevel="0" collapsed="false">
      <c r="A6" s="0" t="s">
        <v>73</v>
      </c>
      <c r="B6" s="0" t="s">
        <v>74</v>
      </c>
      <c r="C6" s="0" t="s">
        <v>75</v>
      </c>
      <c r="D6" s="0" t="s">
        <v>17</v>
      </c>
      <c r="E6" s="0" t="s">
        <v>76</v>
      </c>
      <c r="F6" s="10" t="s">
        <v>51</v>
      </c>
      <c r="G6" s="11" t="s">
        <v>77</v>
      </c>
      <c r="H6" s="11" t="s">
        <v>78</v>
      </c>
      <c r="I6" s="11" t="s">
        <v>54</v>
      </c>
      <c r="J6" s="0" t="n">
        <v>2</v>
      </c>
      <c r="K6" s="11" t="s">
        <v>55</v>
      </c>
      <c r="L6" s="11" t="s">
        <v>79</v>
      </c>
      <c r="M6" s="12" t="n">
        <v>46239</v>
      </c>
    </row>
    <row r="7" customFormat="false" ht="15" hidden="false" customHeight="false" outlineLevel="0" collapsed="false">
      <c r="A7" s="0" t="s">
        <v>80</v>
      </c>
      <c r="B7" s="0" t="s">
        <v>81</v>
      </c>
      <c r="C7" s="0" t="s">
        <v>82</v>
      </c>
      <c r="D7" s="0" t="s">
        <v>8</v>
      </c>
      <c r="F7" s="10" t="s">
        <v>83</v>
      </c>
      <c r="G7" s="11" t="s">
        <v>52</v>
      </c>
      <c r="H7" s="11" t="s">
        <v>53</v>
      </c>
      <c r="I7" s="11" t="s">
        <v>54</v>
      </c>
      <c r="J7" s="0" t="n">
        <v>90</v>
      </c>
      <c r="K7" s="11" t="s">
        <v>55</v>
      </c>
      <c r="L7" s="11" t="s">
        <v>56</v>
      </c>
      <c r="M7" s="12" t="n">
        <v>46213</v>
      </c>
      <c r="N7" s="11" t="s">
        <v>84</v>
      </c>
    </row>
    <row r="8" customFormat="false" ht="15" hidden="false" customHeight="false" outlineLevel="0" collapsed="false">
      <c r="A8" s="0" t="s">
        <v>85</v>
      </c>
      <c r="B8" s="0" t="s">
        <v>86</v>
      </c>
      <c r="C8" s="0" t="s">
        <v>87</v>
      </c>
      <c r="D8" s="0" t="s">
        <v>10</v>
      </c>
      <c r="F8" s="10" t="s">
        <v>60</v>
      </c>
      <c r="G8" s="11" t="s">
        <v>52</v>
      </c>
      <c r="H8" s="11" t="s">
        <v>53</v>
      </c>
      <c r="I8" s="11" t="s">
        <v>54</v>
      </c>
      <c r="J8" s="0" t="n">
        <v>150</v>
      </c>
      <c r="K8" s="11" t="s">
        <v>88</v>
      </c>
      <c r="L8" s="11" t="s">
        <v>79</v>
      </c>
      <c r="M8" s="12" t="n">
        <v>46254</v>
      </c>
      <c r="N8" s="11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6"/>
  </cols>
  <sheetData>
    <row r="1" customFormat="false" ht="15" hidden="false" customHeight="false" outlineLevel="0" collapsed="false">
      <c r="A1" s="9" t="s">
        <v>36</v>
      </c>
      <c r="B1" s="9" t="s">
        <v>37</v>
      </c>
      <c r="C1" s="9" t="s">
        <v>4</v>
      </c>
      <c r="D1" s="9" t="s">
        <v>38</v>
      </c>
      <c r="E1" s="9" t="s">
        <v>90</v>
      </c>
      <c r="F1" s="9" t="s">
        <v>91</v>
      </c>
      <c r="G1" s="9" t="s">
        <v>42</v>
      </c>
      <c r="H1" s="9" t="s">
        <v>43</v>
      </c>
      <c r="I1" s="9" t="s">
        <v>92</v>
      </c>
      <c r="J1" s="9" t="s">
        <v>93</v>
      </c>
      <c r="K1" s="9" t="s">
        <v>44</v>
      </c>
      <c r="L1" s="9" t="s">
        <v>46</v>
      </c>
      <c r="M1" s="9" t="s">
        <v>94</v>
      </c>
    </row>
    <row r="2" customFormat="false" ht="15" hidden="false" customHeight="false" outlineLevel="0" collapsed="false">
      <c r="A2" s="0" t="s">
        <v>49</v>
      </c>
      <c r="B2" s="0" t="s">
        <v>50</v>
      </c>
      <c r="C2" s="0" t="s">
        <v>8</v>
      </c>
      <c r="E2" s="12" t="n">
        <v>46239</v>
      </c>
      <c r="F2" s="11" t="s">
        <v>95</v>
      </c>
      <c r="G2" s="11" t="s">
        <v>54</v>
      </c>
      <c r="H2" s="0" t="n">
        <v>80</v>
      </c>
      <c r="I2" s="11" t="s">
        <v>96</v>
      </c>
      <c r="K2" s="11" t="s">
        <v>97</v>
      </c>
      <c r="L2" s="12" t="n">
        <v>46239</v>
      </c>
    </row>
    <row r="3" customFormat="false" ht="15" hidden="false" customHeight="false" outlineLevel="0" collapsed="false">
      <c r="A3" s="0" t="s">
        <v>58</v>
      </c>
      <c r="B3" s="0" t="s">
        <v>59</v>
      </c>
      <c r="C3" s="0" t="s">
        <v>10</v>
      </c>
      <c r="E3" s="12" t="n">
        <v>46254</v>
      </c>
      <c r="F3" s="11" t="s">
        <v>98</v>
      </c>
      <c r="G3" s="11" t="s">
        <v>54</v>
      </c>
      <c r="H3" s="0" t="n">
        <v>200</v>
      </c>
      <c r="I3" s="11" t="s">
        <v>99</v>
      </c>
      <c r="K3" s="11" t="s">
        <v>97</v>
      </c>
      <c r="L3" s="12" t="n">
        <v>46254</v>
      </c>
    </row>
    <row r="4" customFormat="false" ht="15" hidden="false" customHeight="false" outlineLevel="0" collapsed="false">
      <c r="A4" s="0" t="s">
        <v>100</v>
      </c>
      <c r="B4" s="0" t="s">
        <v>101</v>
      </c>
      <c r="C4" s="0" t="s">
        <v>12</v>
      </c>
      <c r="E4" s="12" t="n">
        <v>46254</v>
      </c>
      <c r="F4" s="11" t="s">
        <v>95</v>
      </c>
      <c r="G4" s="11" t="s">
        <v>54</v>
      </c>
      <c r="H4" s="0" t="n">
        <v>40</v>
      </c>
      <c r="I4" s="11" t="s">
        <v>102</v>
      </c>
      <c r="K4" s="11" t="s">
        <v>103</v>
      </c>
      <c r="L4" s="12" t="n">
        <v>46254</v>
      </c>
    </row>
    <row r="5" customFormat="false" ht="15" hidden="false" customHeight="false" outlineLevel="0" collapsed="false">
      <c r="A5" s="0" t="s">
        <v>104</v>
      </c>
      <c r="B5" s="0" t="s">
        <v>105</v>
      </c>
      <c r="C5" s="0" t="s">
        <v>14</v>
      </c>
      <c r="E5" s="12" t="n">
        <v>46254</v>
      </c>
      <c r="F5" s="11" t="s">
        <v>106</v>
      </c>
      <c r="G5" s="11" t="s">
        <v>72</v>
      </c>
      <c r="H5" s="0" t="n">
        <v>3</v>
      </c>
      <c r="K5" s="11" t="s">
        <v>107</v>
      </c>
      <c r="L5" s="12" t="n">
        <v>46254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6"/>
  </cols>
  <sheetData>
    <row r="1" customFormat="false" ht="15" hidden="false" customHeight="false" outlineLevel="0" collapsed="false">
      <c r="A1" s="9" t="s">
        <v>108</v>
      </c>
      <c r="B1" s="9" t="s">
        <v>109</v>
      </c>
      <c r="C1" s="9" t="s">
        <v>110</v>
      </c>
      <c r="D1" s="9" t="s">
        <v>111</v>
      </c>
      <c r="E1" s="9" t="s">
        <v>112</v>
      </c>
      <c r="F1" s="9" t="s">
        <v>3</v>
      </c>
      <c r="G1" s="9" t="s">
        <v>113</v>
      </c>
      <c r="H1" s="9" t="s">
        <v>43</v>
      </c>
      <c r="I1" s="9" t="s">
        <v>114</v>
      </c>
      <c r="J1" s="9" t="s">
        <v>44</v>
      </c>
      <c r="K1" s="9" t="s">
        <v>115</v>
      </c>
    </row>
    <row r="2" customFormat="false" ht="15" hidden="false" customHeight="false" outlineLevel="0" collapsed="false">
      <c r="A2" s="12" t="n">
        <v>46239</v>
      </c>
      <c r="B2" s="11" t="s">
        <v>116</v>
      </c>
      <c r="C2" s="11" t="s">
        <v>117</v>
      </c>
      <c r="D2" s="11" t="s">
        <v>118</v>
      </c>
      <c r="F2" s="11" t="s">
        <v>7</v>
      </c>
      <c r="G2" s="12" t="n">
        <v>46239</v>
      </c>
      <c r="H2" s="0" t="n">
        <v>80</v>
      </c>
      <c r="J2" s="11" t="s">
        <v>23</v>
      </c>
      <c r="K2" s="11" t="s">
        <v>119</v>
      </c>
    </row>
    <row r="3" customFormat="false" ht="15" hidden="false" customHeight="false" outlineLevel="0" collapsed="false">
      <c r="A3" s="12" t="n">
        <v>46254</v>
      </c>
      <c r="B3" s="11" t="s">
        <v>120</v>
      </c>
      <c r="C3" s="11" t="s">
        <v>121</v>
      </c>
      <c r="D3" s="11" t="s">
        <v>122</v>
      </c>
      <c r="F3" s="11" t="s">
        <v>123</v>
      </c>
      <c r="G3" s="12" t="n">
        <v>46254</v>
      </c>
      <c r="H3" s="0" t="n">
        <v>40</v>
      </c>
      <c r="J3" s="11" t="s">
        <v>103</v>
      </c>
      <c r="K3" s="11" t="s">
        <v>119</v>
      </c>
    </row>
    <row r="4" customFormat="false" ht="15" hidden="false" customHeight="false" outlineLevel="0" collapsed="false">
      <c r="A4" s="12" t="n">
        <v>46254</v>
      </c>
      <c r="B4" s="11" t="s">
        <v>124</v>
      </c>
      <c r="C4" s="11" t="s">
        <v>125</v>
      </c>
      <c r="D4" s="11" t="s">
        <v>126</v>
      </c>
      <c r="F4" s="11" t="s">
        <v>127</v>
      </c>
      <c r="G4" s="12" t="n">
        <v>46254</v>
      </c>
      <c r="H4" s="0" t="n">
        <v>2</v>
      </c>
      <c r="J4" s="11" t="s">
        <v>128</v>
      </c>
      <c r="K4" s="11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2026-08-28T04:53:31Z</dcterms:created>
  <dc:creator>openpyxl</dc:creator>
  <dc:description/>
  <dc:language>en-US</dc:language>
  <cp:lastModifiedBy/>
  <dcterms:modified xsi:type="dcterms:W3CDTF">2026-08-28T04:53:31Z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